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auricio\Documents\"/>
    </mc:Choice>
  </mc:AlternateContent>
  <xr:revisionPtr revIDLastSave="0" documentId="13_ncr:1_{0B30D03A-9705-449D-8BA9-B26C65AA72DD}" xr6:coauthVersionLast="47" xr6:coauthVersionMax="47" xr10:uidLastSave="{00000000-0000-0000-0000-000000000000}"/>
  <bookViews>
    <workbookView xWindow="-120" yWindow="-120" windowWidth="20730" windowHeight="11160" tabRatio="102" xr2:uid="{76C5D69E-687B-4300-A5C8-8BBBE13F023B}"/>
  </bookViews>
  <sheets>
    <sheet name="TITULAR" sheetId="1" r:id="rId1"/>
    <sheet name="INFORMES" sheetId="4" r:id="rId2"/>
    <sheet name="NOTAS" sheetId="5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  <c r="C6" i="4"/>
</calcChain>
</file>

<file path=xl/sharedStrings.xml><?xml version="1.0" encoding="utf-8"?>
<sst xmlns="http://schemas.openxmlformats.org/spreadsheetml/2006/main" count="119" uniqueCount="95">
  <si>
    <t>1. DADOS DO TÍTULAR</t>
  </si>
  <si>
    <t>Preencha os dados da sua pessoa física abaixo:</t>
  </si>
  <si>
    <t>NOME:</t>
  </si>
  <si>
    <t>CPF:</t>
  </si>
  <si>
    <t>NASCIMENTO:</t>
  </si>
  <si>
    <t>TÍTULO DE ELEITOR:</t>
  </si>
  <si>
    <t>CÔNJUGE:</t>
  </si>
  <si>
    <t>RUA:</t>
  </si>
  <si>
    <t>RUA ABREVIADA:</t>
  </si>
  <si>
    <t>CEP:</t>
  </si>
  <si>
    <t>TELEFONE:</t>
  </si>
  <si>
    <t>CELULAR:</t>
  </si>
  <si>
    <t>E-MAIL:</t>
  </si>
  <si>
    <t>HOUVE ALTERAÇÃO DA ENTREGA ANTERIOR?</t>
  </si>
  <si>
    <t>DEPENDENTE CÔNJUGE:</t>
  </si>
  <si>
    <t>RESIDENTE DO EXTERIOR?</t>
  </si>
  <si>
    <t>Leidiana Nunes</t>
  </si>
  <si>
    <t>Frei Bonifácio Harink</t>
  </si>
  <si>
    <t>Frei B Harink</t>
  </si>
  <si>
    <t>leidievoce2@gmail.com</t>
  </si>
  <si>
    <t>NÃO</t>
  </si>
  <si>
    <t>SIM</t>
  </si>
  <si>
    <t>Mauricio Julio</t>
  </si>
  <si>
    <t>(11) 3032-4456</t>
  </si>
  <si>
    <t>2. INFORME DE RENDIMENTOS BANCÁRIOS</t>
  </si>
  <si>
    <t>Preencha com seus dados atuais de cada banco :</t>
  </si>
  <si>
    <t>BANCO:</t>
  </si>
  <si>
    <t>VALOR ATUAL</t>
  </si>
  <si>
    <t>ANEXO📎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</si>
  <si>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</si>
  <si>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</si>
  <si>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</si>
  <si>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</si>
  <si>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</si>
  <si>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</si>
  <si>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</si>
  <si>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</si>
  <si>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</si>
  <si>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</si>
  <si>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</si>
  <si>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</si>
  <si>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</si>
  <si>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</si>
  <si>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</si>
  <si>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</si>
  <si>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</si>
  <si>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</si>
  <si>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</si>
  <si>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</si>
  <si>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</si>
  <si>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</si>
  <si>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</si>
  <si>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</si>
  <si>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</si>
  <si>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</si>
  <si>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</si>
  <si>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</si>
  <si>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</si>
  <si>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</si>
  <si>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</si>
  <si>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</si>
  <si>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</si>
  <si>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</si>
  <si>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</si>
  <si>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</si>
  <si>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</si>
  <si>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</si>
  <si>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</si>
  <si>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</si>
  <si>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</si>
  <si>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</si>
  <si>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</si>
  <si>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</si>
  <si>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</si>
  <si>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</si>
  <si>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</si>
  <si>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</si>
  <si>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</si>
  <si>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</si>
  <si>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</si>
  <si>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</si>
  <si>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</si>
  <si>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3° Banco</t>
  </si>
  <si>
    <t>2°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</si>
  <si>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</si>
  <si>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</si>
  <si>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</si>
  <si>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</si>
  <si>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</si>
  <si>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 xml:space="preserve">VALOR </t>
  </si>
  <si>
    <t>ENTRADAS</t>
  </si>
  <si>
    <t>CNPJ</t>
  </si>
  <si>
    <t>HOLERITE</t>
  </si>
  <si>
    <t>FREELANCE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</si>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</sst>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1" formatCode="00000\-000"/>
    <numFmt numFmtId="173" formatCode="&quot;(&quot;00&quot;)&quot;\ 0000&quot;-&quot;0000"/>
    <numFmt numFmtId="174" formatCode="&quot;(&quot;00&quot;)&quot;\ 00000&quot;-&quot;0000"/>
    <numFmt numFmtId="175" formatCode="&quot;R$&quot;\ #,##0.00"/>
    <numFmt numFmtId="177" formatCode="mmmm\-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1"/>
      <color theme="0" tint="-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Segoe UI Light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26">
    <xf numFmtId="0" fontId="0" fillId="0" borderId="0" xfId="0"/>
    <xf numFmtId="0" fontId="0" fillId="4" borderId="0" xfId="0" applyFill="1"/>
    <xf numFmtId="0" fontId="4" fillId="3" borderId="2" xfId="0" applyFont="1" applyFill="1" applyBorder="1" applyAlignment="1">
      <alignment horizontal="right"/>
    </xf>
    <xf numFmtId="0" fontId="2" fillId="0" borderId="1" xfId="1"/>
    <xf numFmtId="0" fontId="6" fillId="3" borderId="3" xfId="0" applyFont="1" applyFill="1" applyBorder="1" applyAlignment="1">
      <alignment horizontal="left" indent="3"/>
    </xf>
    <xf numFmtId="0" fontId="0" fillId="2" borderId="2" xfId="2" applyFont="1" applyBorder="1" applyAlignment="1">
      <alignment horizontal="left"/>
    </xf>
    <xf numFmtId="0" fontId="7" fillId="0" borderId="0" xfId="0" applyFont="1"/>
    <xf numFmtId="0" fontId="3" fillId="5" borderId="0" xfId="0" applyFont="1" applyFill="1"/>
    <xf numFmtId="175" fontId="0" fillId="2" borderId="2" xfId="2" applyNumberFormat="1" applyFont="1" applyBorder="1" applyAlignment="1">
      <alignment horizontal="left"/>
    </xf>
    <xf numFmtId="175" fontId="0" fillId="0" borderId="0" xfId="0" applyNumberFormat="1"/>
    <xf numFmtId="0" fontId="4" fillId="0" borderId="0" xfId="0" applyFont="1" applyAlignment="1"/>
    <xf numFmtId="175" fontId="0" fillId="0" borderId="0" xfId="0" applyNumberFormat="1" applyAlignment="1"/>
    <xf numFmtId="0" fontId="5" fillId="3" borderId="0" xfId="0" applyFont="1" applyFill="1" applyAlignment="1">
      <alignment horizontal="center"/>
    </xf>
    <xf numFmtId="175" fontId="0" fillId="6" borderId="0" xfId="0" applyNumberForma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" fillId="2" borderId="2" xfId="2" applyBorder="1" applyAlignment="1" applyProtection="1">
      <alignment horizontal="left"/>
      <protection locked="0"/>
    </xf>
    <xf numFmtId="169" fontId="1" fillId="2" borderId="2" xfId="2" applyNumberFormat="1" applyBorder="1" applyAlignment="1" applyProtection="1">
      <alignment horizontal="left"/>
      <protection locked="0"/>
    </xf>
    <xf numFmtId="0" fontId="0" fillId="2" borderId="2" xfId="2" applyFont="1" applyBorder="1" applyAlignment="1" applyProtection="1">
      <alignment horizontal="left"/>
      <protection locked="0"/>
    </xf>
    <xf numFmtId="171" fontId="1" fillId="2" borderId="2" xfId="2" applyNumberFormat="1" applyBorder="1" applyAlignment="1" applyProtection="1">
      <alignment horizontal="left"/>
      <protection locked="0"/>
    </xf>
    <xf numFmtId="173" fontId="0" fillId="2" borderId="2" xfId="2" applyNumberFormat="1" applyFont="1" applyBorder="1" applyAlignment="1" applyProtection="1">
      <alignment horizontal="left"/>
      <protection locked="0"/>
    </xf>
    <xf numFmtId="174" fontId="1" fillId="2" borderId="2" xfId="2" applyNumberFormat="1" applyBorder="1" applyAlignment="1" applyProtection="1">
      <alignment horizontal="left"/>
      <protection locked="0"/>
    </xf>
    <xf numFmtId="177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5" fontId="4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right"/>
    </xf>
  </cellXfs>
  <cellStyles count="3">
    <cellStyle name="20% - Ênfase1" xfId="2" builtinId="30"/>
    <cellStyle name="Normal" xfId="0" builtinId="0"/>
    <cellStyle name="Título 1" xfId="1" builtinId="16"/>
  </cellStyles>
  <dxfs count="5">
    <dxf>
      <font>
        <strike val="0"/>
        <outline val="0"/>
        <shadow val="0"/>
        <vertAlign val="baseline"/>
        <sz val="11"/>
        <name val="Segoe UI Light"/>
        <family val="2"/>
        <scheme val="none"/>
      </font>
      <numFmt numFmtId="175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 Light"/>
        <family val="2"/>
        <scheme val="none"/>
      </font>
      <numFmt numFmtId="177" formatCode="mmmm\-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idiana-nunes-dos-santos-14a5b5215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idiana-nunes-dos-santos-14a5b5215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idiana-nunes-dos-santos-14a5b5215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61914</xdr:colOff>
      <xdr:row>1</xdr:row>
      <xdr:rowOff>171450</xdr:rowOff>
    </xdr:from>
    <xdr:to>
      <xdr:col>0</xdr:col>
      <xdr:colOff>1062039</xdr:colOff>
      <xdr:row>6</xdr:row>
      <xdr:rowOff>201930</xdr:rowOff>
    </xdr:to>
    <xdr:pic>
      <xdr:nvPicPr>
        <xdr:cNvPr id="3" name="Imagem 2" descr="Lion Icons Images – Browse 443,959 Stock Photos, Vectors ...">
          <a:extLst>
            <a:ext uri="{FF2B5EF4-FFF2-40B4-BE49-F238E27FC236}">
              <a16:creationId xmlns:a16="http://schemas.microsoft.com/office/drawing/2014/main" id="{65DE5B01-8127-352B-856F-03948C752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1914" y="361950"/>
          <a:ext cx="1000125" cy="1097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1</xdr:colOff>
      <xdr:row>0</xdr:row>
      <xdr:rowOff>38100</xdr:rowOff>
    </xdr:from>
    <xdr:to>
      <xdr:col>0</xdr:col>
      <xdr:colOff>1123951</xdr:colOff>
      <xdr:row>1</xdr:row>
      <xdr:rowOff>161926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0443571-89A6-5929-9C8B-D76F636C36DD}"/>
            </a:ext>
          </a:extLst>
        </xdr:cNvPr>
        <xdr:cNvSpPr/>
      </xdr:nvSpPr>
      <xdr:spPr>
        <a:xfrm>
          <a:off x="1" y="3810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extrusionClr>
            <a:srgbClr val="002060"/>
          </a:extrusionClr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50" b="1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</a:rPr>
            <a:t>LEIDI</a:t>
          </a:r>
          <a:r>
            <a:rPr lang="pt-BR" sz="1150" b="1" baseline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</a:rPr>
            <a:t> INFORME</a:t>
          </a:r>
          <a:endParaRPr lang="pt-BR" sz="1150" b="1">
            <a:effectLst>
              <a:glow rad="127000">
                <a:srgbClr val="002060"/>
              </a:glow>
              <a:outerShdw blurRad="50800" dist="50800" dir="5400000" algn="ctr" rotWithShape="0">
                <a:srgbClr val="002060"/>
              </a:outerShdw>
            </a:effectLst>
          </a:endParaRPr>
        </a:p>
      </xdr:txBody>
    </xdr:sp>
    <xdr:clientData/>
  </xdr:twoCellAnchor>
  <xdr:twoCellAnchor editAs="absolute">
    <xdr:from>
      <xdr:col>0</xdr:col>
      <xdr:colOff>9525</xdr:colOff>
      <xdr:row>8</xdr:row>
      <xdr:rowOff>38100</xdr:rowOff>
    </xdr:from>
    <xdr:to>
      <xdr:col>0</xdr:col>
      <xdr:colOff>1133475</xdr:colOff>
      <xdr:row>9</xdr:row>
      <xdr:rowOff>142876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4D4C36-9098-42F0-BD20-45B6EBE599AF}"/>
            </a:ext>
          </a:extLst>
        </xdr:cNvPr>
        <xdr:cNvSpPr/>
      </xdr:nvSpPr>
      <xdr:spPr>
        <a:xfrm>
          <a:off x="9525" y="1714500"/>
          <a:ext cx="1123950" cy="314326"/>
        </a:xfrm>
        <a:prstGeom prst="roundRect">
          <a:avLst/>
        </a:prstGeom>
        <a:solidFill>
          <a:srgbClr val="002060"/>
        </a:solidFill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10</xdr:row>
      <xdr:rowOff>0</xdr:rowOff>
    </xdr:from>
    <xdr:to>
      <xdr:col>0</xdr:col>
      <xdr:colOff>1123950</xdr:colOff>
      <xdr:row>11</xdr:row>
      <xdr:rowOff>104776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F3AA66-F0E3-44D4-B167-B48FF3816609}"/>
            </a:ext>
          </a:extLst>
        </xdr:cNvPr>
        <xdr:cNvSpPr/>
      </xdr:nvSpPr>
      <xdr:spPr>
        <a:xfrm>
          <a:off x="0" y="209550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</xdr:colOff>
      <xdr:row>11</xdr:row>
      <xdr:rowOff>152400</xdr:rowOff>
    </xdr:from>
    <xdr:to>
      <xdr:col>1</xdr:col>
      <xdr:colOff>0</xdr:colOff>
      <xdr:row>13</xdr:row>
      <xdr:rowOff>47626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9A39D6-3C56-43AE-8E9D-038C55BF2101}"/>
            </a:ext>
          </a:extLst>
        </xdr:cNvPr>
        <xdr:cNvSpPr/>
      </xdr:nvSpPr>
      <xdr:spPr>
        <a:xfrm>
          <a:off x="19050" y="245745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19050</xdr:colOff>
      <xdr:row>14</xdr:row>
      <xdr:rowOff>95250</xdr:rowOff>
    </xdr:from>
    <xdr:to>
      <xdr:col>1</xdr:col>
      <xdr:colOff>19050</xdr:colOff>
      <xdr:row>15</xdr:row>
      <xdr:rowOff>190500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88305B8-4912-282F-9375-29165C4064B8}"/>
            </a:ext>
          </a:extLst>
        </xdr:cNvPr>
        <xdr:cNvSpPr/>
      </xdr:nvSpPr>
      <xdr:spPr>
        <a:xfrm>
          <a:off x="19050" y="3028950"/>
          <a:ext cx="1143000" cy="304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700">
              <a:solidFill>
                <a:schemeClr val="bg1">
                  <a:lumMod val="95000"/>
                </a:schemeClr>
              </a:solidFill>
            </a:rPr>
            <a:t>SYSTEM</a:t>
          </a:r>
          <a:r>
            <a:rPr lang="pt-BR" sz="700" baseline="0">
              <a:solidFill>
                <a:schemeClr val="bg1">
                  <a:lumMod val="95000"/>
                </a:schemeClr>
              </a:solidFill>
            </a:rPr>
            <a:t> BY LEIDI </a:t>
          </a:r>
          <a:r>
            <a:rPr lang="pt-BR" sz="700" baseline="0"/>
            <a:t>🦁</a:t>
          </a:r>
          <a:endParaRPr lang="pt-BR" sz="700"/>
        </a:p>
      </xdr:txBody>
    </xdr:sp>
    <xdr:clientData/>
  </xdr:twoCellAnchor>
  <xdr:twoCellAnchor editAs="absolute">
    <xdr:from>
      <xdr:col>0</xdr:col>
      <xdr:colOff>104775</xdr:colOff>
      <xdr:row>14</xdr:row>
      <xdr:rowOff>114300</xdr:rowOff>
    </xdr:from>
    <xdr:to>
      <xdr:col>0</xdr:col>
      <xdr:colOff>1047750</xdr:colOff>
      <xdr:row>14</xdr:row>
      <xdr:rowOff>114300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36ADA7E-E5BA-408F-E855-54073629B5DE}"/>
            </a:ext>
          </a:extLst>
        </xdr:cNvPr>
        <xdr:cNvCxnSpPr/>
      </xdr:nvCxnSpPr>
      <xdr:spPr>
        <a:xfrm>
          <a:off x="104775" y="3048000"/>
          <a:ext cx="942975" cy="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447675</xdr:colOff>
      <xdr:row>15</xdr:row>
      <xdr:rowOff>114300</xdr:rowOff>
    </xdr:from>
    <xdr:to>
      <xdr:col>0</xdr:col>
      <xdr:colOff>752475</xdr:colOff>
      <xdr:row>17</xdr:row>
      <xdr:rowOff>0</xdr:rowOff>
    </xdr:to>
    <xdr:pic>
      <xdr:nvPicPr>
        <xdr:cNvPr id="18" name="icon_link" descr="HD White Round Outline Linkedin IN Icon Symbol PNG | City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C6DB84-81DF-4E74-8E3B-763D8D85E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257550"/>
          <a:ext cx="304800" cy="304800"/>
        </a:xfrm>
        <a:prstGeom prst="rect">
          <a:avLst/>
        </a:prstGeom>
        <a:noFill/>
        <a:effectLst>
          <a:outerShdw blurRad="50800" dist="50800" dir="5400000" algn="ctr" rotWithShape="0">
            <a:schemeClr val="tx2">
              <a:lumMod val="25000"/>
              <a:lumOff val="75000"/>
            </a:scheme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1924049</xdr:colOff>
      <xdr:row>18</xdr:row>
      <xdr:rowOff>133350</xdr:rowOff>
    </xdr:from>
    <xdr:to>
      <xdr:col>3</xdr:col>
      <xdr:colOff>2943224</xdr:colOff>
      <xdr:row>20</xdr:row>
      <xdr:rowOff>9525</xdr:rowOff>
    </xdr:to>
    <xdr:sp macro="" textlink="">
      <xdr:nvSpPr>
        <xdr:cNvPr id="19" name="Retângulo: Cantos Diagonais Arredondados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CFCF7FE-2842-145B-DD8A-A7E2857C1900}"/>
            </a:ext>
          </a:extLst>
        </xdr:cNvPr>
        <xdr:cNvSpPr/>
      </xdr:nvSpPr>
      <xdr:spPr>
        <a:xfrm>
          <a:off x="6648449" y="3905250"/>
          <a:ext cx="1019175" cy="257175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61914</xdr:colOff>
      <xdr:row>1</xdr:row>
      <xdr:rowOff>190500</xdr:rowOff>
    </xdr:from>
    <xdr:to>
      <xdr:col>0</xdr:col>
      <xdr:colOff>1062039</xdr:colOff>
      <xdr:row>7</xdr:row>
      <xdr:rowOff>173355</xdr:rowOff>
    </xdr:to>
    <xdr:pic>
      <xdr:nvPicPr>
        <xdr:cNvPr id="2" name="Imagem 1" descr="Lion Icons Images – Browse 443,959 Stock Photos, Vectors ...">
          <a:extLst>
            <a:ext uri="{FF2B5EF4-FFF2-40B4-BE49-F238E27FC236}">
              <a16:creationId xmlns:a16="http://schemas.microsoft.com/office/drawing/2014/main" id="{6CDD4ED3-78C4-4899-A5BA-A91FD446F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1914" y="381000"/>
          <a:ext cx="1000125" cy="1097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1</xdr:colOff>
      <xdr:row>0</xdr:row>
      <xdr:rowOff>38100</xdr:rowOff>
    </xdr:from>
    <xdr:to>
      <xdr:col>0</xdr:col>
      <xdr:colOff>1123951</xdr:colOff>
      <xdr:row>1</xdr:row>
      <xdr:rowOff>161926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AC8A777-89BF-4513-A232-8A0740DEE387}"/>
            </a:ext>
          </a:extLst>
        </xdr:cNvPr>
        <xdr:cNvSpPr/>
      </xdr:nvSpPr>
      <xdr:spPr>
        <a:xfrm>
          <a:off x="1" y="3810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extrusionClr>
            <a:srgbClr val="002060"/>
          </a:extrusionClr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50" b="1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</a:rPr>
            <a:t>LEIDI</a:t>
          </a:r>
          <a:r>
            <a:rPr lang="pt-BR" sz="1150" b="1" baseline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</a:rPr>
            <a:t> INFORME</a:t>
          </a:r>
          <a:endParaRPr lang="pt-BR" sz="1150" b="1">
            <a:effectLst>
              <a:glow rad="127000">
                <a:srgbClr val="002060"/>
              </a:glow>
              <a:outerShdw blurRad="50800" dist="50800" dir="5400000" algn="ctr" rotWithShape="0">
                <a:srgbClr val="002060"/>
              </a:outerShdw>
            </a:effectLst>
          </a:endParaRPr>
        </a:p>
      </xdr:txBody>
    </xdr:sp>
    <xdr:clientData/>
  </xdr:twoCellAnchor>
  <xdr:twoCellAnchor editAs="absolute">
    <xdr:from>
      <xdr:col>0</xdr:col>
      <xdr:colOff>9525</xdr:colOff>
      <xdr:row>8</xdr:row>
      <xdr:rowOff>200025</xdr:rowOff>
    </xdr:from>
    <xdr:to>
      <xdr:col>0</xdr:col>
      <xdr:colOff>1133475</xdr:colOff>
      <xdr:row>10</xdr:row>
      <xdr:rowOff>95251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5EFDDF-F9C2-4616-8B17-5D81F5DDDD5A}"/>
            </a:ext>
          </a:extLst>
        </xdr:cNvPr>
        <xdr:cNvSpPr/>
      </xdr:nvSpPr>
      <xdr:spPr>
        <a:xfrm>
          <a:off x="9525" y="171450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10</xdr:row>
      <xdr:rowOff>161925</xdr:rowOff>
    </xdr:from>
    <xdr:to>
      <xdr:col>0</xdr:col>
      <xdr:colOff>1123950</xdr:colOff>
      <xdr:row>12</xdr:row>
      <xdr:rowOff>95251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CAB4D0-43CE-4878-B868-B975985D64F8}"/>
            </a:ext>
          </a:extLst>
        </xdr:cNvPr>
        <xdr:cNvSpPr/>
      </xdr:nvSpPr>
      <xdr:spPr>
        <a:xfrm>
          <a:off x="0" y="2095500"/>
          <a:ext cx="1123950" cy="314326"/>
        </a:xfrm>
        <a:prstGeom prst="roundRect">
          <a:avLst/>
        </a:prstGeom>
        <a:solidFill>
          <a:srgbClr val="002060"/>
        </a:solidFill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</xdr:colOff>
      <xdr:row>12</xdr:row>
      <xdr:rowOff>142875</xdr:rowOff>
    </xdr:from>
    <xdr:to>
      <xdr:col>1</xdr:col>
      <xdr:colOff>0</xdr:colOff>
      <xdr:row>14</xdr:row>
      <xdr:rowOff>38101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EA400A-F5B0-48D0-BEFE-5C4C86F9D0EB}"/>
            </a:ext>
          </a:extLst>
        </xdr:cNvPr>
        <xdr:cNvSpPr/>
      </xdr:nvSpPr>
      <xdr:spPr>
        <a:xfrm>
          <a:off x="19050" y="245745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28575</xdr:colOff>
      <xdr:row>14</xdr:row>
      <xdr:rowOff>152400</xdr:rowOff>
    </xdr:from>
    <xdr:to>
      <xdr:col>1</xdr:col>
      <xdr:colOff>28575</xdr:colOff>
      <xdr:row>16</xdr:row>
      <xdr:rowOff>38100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986EF44-F266-42BB-88F6-EE61D580B7A3}"/>
            </a:ext>
          </a:extLst>
        </xdr:cNvPr>
        <xdr:cNvSpPr/>
      </xdr:nvSpPr>
      <xdr:spPr>
        <a:xfrm>
          <a:off x="28575" y="2886075"/>
          <a:ext cx="1143000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700">
              <a:solidFill>
                <a:schemeClr val="bg1">
                  <a:lumMod val="95000"/>
                </a:schemeClr>
              </a:solidFill>
            </a:rPr>
            <a:t>SYSTEM</a:t>
          </a:r>
          <a:r>
            <a:rPr lang="pt-BR" sz="700" baseline="0">
              <a:solidFill>
                <a:schemeClr val="bg1">
                  <a:lumMod val="95000"/>
                </a:schemeClr>
              </a:solidFill>
            </a:rPr>
            <a:t> BY LEIDI </a:t>
          </a:r>
          <a:r>
            <a:rPr lang="pt-BR" sz="700" baseline="0"/>
            <a:t>🦁</a:t>
          </a:r>
          <a:endParaRPr lang="pt-BR" sz="700"/>
        </a:p>
      </xdr:txBody>
    </xdr:sp>
    <xdr:clientData/>
  </xdr:twoCellAnchor>
  <xdr:twoCellAnchor editAs="absolute">
    <xdr:from>
      <xdr:col>0</xdr:col>
      <xdr:colOff>85725</xdr:colOff>
      <xdr:row>14</xdr:row>
      <xdr:rowOff>152400</xdr:rowOff>
    </xdr:from>
    <xdr:to>
      <xdr:col>0</xdr:col>
      <xdr:colOff>1028700</xdr:colOff>
      <xdr:row>14</xdr:row>
      <xdr:rowOff>152400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C293C0E-11C5-4644-9178-74120056EE0F}"/>
            </a:ext>
          </a:extLst>
        </xdr:cNvPr>
        <xdr:cNvCxnSpPr/>
      </xdr:nvCxnSpPr>
      <xdr:spPr>
        <a:xfrm>
          <a:off x="85725" y="2886075"/>
          <a:ext cx="942975" cy="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495300</xdr:colOff>
      <xdr:row>16</xdr:row>
      <xdr:rowOff>142875</xdr:rowOff>
    </xdr:from>
    <xdr:to>
      <xdr:col>0</xdr:col>
      <xdr:colOff>800100</xdr:colOff>
      <xdr:row>18</xdr:row>
      <xdr:rowOff>47625</xdr:rowOff>
    </xdr:to>
    <xdr:pic>
      <xdr:nvPicPr>
        <xdr:cNvPr id="10" name="Imagem 9" descr="HD White Round Outline Linkedin IN Icon Symbol PNG | City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F14B2D-FEAD-4477-BF98-982CE8AE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276600"/>
          <a:ext cx="304800" cy="304800"/>
        </a:xfrm>
        <a:prstGeom prst="rect">
          <a:avLst/>
        </a:prstGeom>
        <a:noFill/>
        <a:effectLst>
          <a:outerShdw blurRad="50800" dist="50800" dir="5400000" algn="ctr" rotWithShape="0">
            <a:schemeClr val="tx2">
              <a:lumMod val="25000"/>
              <a:lumOff val="75000"/>
            </a:scheme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21</xdr:row>
      <xdr:rowOff>0</xdr:rowOff>
    </xdr:from>
    <xdr:to>
      <xdr:col>3</xdr:col>
      <xdr:colOff>1019175</xdr:colOff>
      <xdr:row>22</xdr:row>
      <xdr:rowOff>66675</xdr:rowOff>
    </xdr:to>
    <xdr:sp macro="" textlink="">
      <xdr:nvSpPr>
        <xdr:cNvPr id="11" name="Retângulo: Cantos Diagonai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9C42DF4-739E-4F73-A654-0BA11992F1EC}"/>
            </a:ext>
          </a:extLst>
        </xdr:cNvPr>
        <xdr:cNvSpPr/>
      </xdr:nvSpPr>
      <xdr:spPr>
        <a:xfrm>
          <a:off x="4724400" y="4143375"/>
          <a:ext cx="1019175" cy="257175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1914525</xdr:colOff>
      <xdr:row>21</xdr:row>
      <xdr:rowOff>9525</xdr:rowOff>
    </xdr:from>
    <xdr:to>
      <xdr:col>2</xdr:col>
      <xdr:colOff>2933700</xdr:colOff>
      <xdr:row>22</xdr:row>
      <xdr:rowOff>76200</xdr:rowOff>
    </xdr:to>
    <xdr:sp macro="" textlink="">
      <xdr:nvSpPr>
        <xdr:cNvPr id="12" name="Retângulo: Cantos Diagonai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718726-8CE6-430A-BDCC-C39BA3FA803C}"/>
            </a:ext>
          </a:extLst>
        </xdr:cNvPr>
        <xdr:cNvSpPr/>
      </xdr:nvSpPr>
      <xdr:spPr>
        <a:xfrm>
          <a:off x="3667125" y="4152900"/>
          <a:ext cx="1019175" cy="257175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61914</xdr:colOff>
      <xdr:row>1</xdr:row>
      <xdr:rowOff>171450</xdr:rowOff>
    </xdr:from>
    <xdr:to>
      <xdr:col>0</xdr:col>
      <xdr:colOff>1062039</xdr:colOff>
      <xdr:row>6</xdr:row>
      <xdr:rowOff>201930</xdr:rowOff>
    </xdr:to>
    <xdr:pic>
      <xdr:nvPicPr>
        <xdr:cNvPr id="2" name="Imagem 1" descr="Lion Icons Images – Browse 443,959 Stock Photos, Vectors ...">
          <a:extLst>
            <a:ext uri="{FF2B5EF4-FFF2-40B4-BE49-F238E27FC236}">
              <a16:creationId xmlns:a16="http://schemas.microsoft.com/office/drawing/2014/main" id="{E8D13FB0-5A78-4565-98D5-C790DE501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1914" y="361950"/>
          <a:ext cx="1000125" cy="1097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1</xdr:colOff>
      <xdr:row>0</xdr:row>
      <xdr:rowOff>38100</xdr:rowOff>
    </xdr:from>
    <xdr:to>
      <xdr:col>0</xdr:col>
      <xdr:colOff>1123951</xdr:colOff>
      <xdr:row>1</xdr:row>
      <xdr:rowOff>161926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980B297-1551-4A28-98A1-90C4E9090563}"/>
            </a:ext>
          </a:extLst>
        </xdr:cNvPr>
        <xdr:cNvSpPr/>
      </xdr:nvSpPr>
      <xdr:spPr>
        <a:xfrm>
          <a:off x="1" y="3810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extrusionClr>
            <a:srgbClr val="002060"/>
          </a:extrusionClr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50" b="1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</a:rPr>
            <a:t>LEIDI</a:t>
          </a:r>
          <a:r>
            <a:rPr lang="pt-BR" sz="1150" b="1" baseline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</a:rPr>
            <a:t> INFORME</a:t>
          </a:r>
          <a:endParaRPr lang="pt-BR" sz="1150" b="1">
            <a:effectLst>
              <a:glow rad="127000">
                <a:srgbClr val="002060"/>
              </a:glow>
              <a:outerShdw blurRad="50800" dist="50800" dir="5400000" algn="ctr" rotWithShape="0">
                <a:srgbClr val="002060"/>
              </a:outerShdw>
            </a:effectLst>
          </a:endParaRPr>
        </a:p>
      </xdr:txBody>
    </xdr:sp>
    <xdr:clientData/>
  </xdr:twoCellAnchor>
  <xdr:twoCellAnchor editAs="absolute">
    <xdr:from>
      <xdr:col>0</xdr:col>
      <xdr:colOff>9525</xdr:colOff>
      <xdr:row>8</xdr:row>
      <xdr:rowOff>38100</xdr:rowOff>
    </xdr:from>
    <xdr:to>
      <xdr:col>0</xdr:col>
      <xdr:colOff>1133475</xdr:colOff>
      <xdr:row>9</xdr:row>
      <xdr:rowOff>142876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CC4D0A-BD1E-439F-A775-09DDB86CFF6A}"/>
            </a:ext>
          </a:extLst>
        </xdr:cNvPr>
        <xdr:cNvSpPr/>
      </xdr:nvSpPr>
      <xdr:spPr>
        <a:xfrm>
          <a:off x="9525" y="171450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10</xdr:row>
      <xdr:rowOff>0</xdr:rowOff>
    </xdr:from>
    <xdr:to>
      <xdr:col>0</xdr:col>
      <xdr:colOff>1123950</xdr:colOff>
      <xdr:row>11</xdr:row>
      <xdr:rowOff>104776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C06B46-FB57-4266-AF48-767FA2ECF5C8}"/>
            </a:ext>
          </a:extLst>
        </xdr:cNvPr>
        <xdr:cNvSpPr/>
      </xdr:nvSpPr>
      <xdr:spPr>
        <a:xfrm>
          <a:off x="0" y="2095500"/>
          <a:ext cx="1123950" cy="314326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</xdr:colOff>
      <xdr:row>11</xdr:row>
      <xdr:rowOff>152400</xdr:rowOff>
    </xdr:from>
    <xdr:to>
      <xdr:col>1</xdr:col>
      <xdr:colOff>0</xdr:colOff>
      <xdr:row>13</xdr:row>
      <xdr:rowOff>47626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F7D1C1-242E-40B6-B8AB-530CD1616517}"/>
            </a:ext>
          </a:extLst>
        </xdr:cNvPr>
        <xdr:cNvSpPr/>
      </xdr:nvSpPr>
      <xdr:spPr>
        <a:xfrm>
          <a:off x="19050" y="2457450"/>
          <a:ext cx="1123950" cy="314326"/>
        </a:xfrm>
        <a:prstGeom prst="roundRect">
          <a:avLst/>
        </a:prstGeom>
        <a:solidFill>
          <a:srgbClr val="002060"/>
        </a:solidFill>
        <a:ln>
          <a:noFill/>
        </a:ln>
        <a:scene3d>
          <a:camera prst="orthographicFront"/>
          <a:lightRig rig="threePt" dir="t"/>
        </a:scene3d>
        <a:sp3d>
          <a:contourClr>
            <a:srgbClr val="002060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effectLst>
                <a:glow rad="127000">
                  <a:srgbClr val="002060"/>
                </a:glow>
                <a:outerShdw blurRad="50800" dist="50800" dir="5400000" algn="ctr" rotWithShape="0">
                  <a:srgbClr val="002060"/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66675</xdr:colOff>
      <xdr:row>13</xdr:row>
      <xdr:rowOff>161925</xdr:rowOff>
    </xdr:from>
    <xdr:to>
      <xdr:col>1</xdr:col>
      <xdr:colOff>66675</xdr:colOff>
      <xdr:row>15</xdr:row>
      <xdr:rowOff>28575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0FFD6CD-EBBA-4C4F-875E-4B61FC497DA2}"/>
            </a:ext>
          </a:extLst>
        </xdr:cNvPr>
        <xdr:cNvSpPr/>
      </xdr:nvSpPr>
      <xdr:spPr>
        <a:xfrm>
          <a:off x="66675" y="2886075"/>
          <a:ext cx="1143000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700">
              <a:solidFill>
                <a:schemeClr val="bg1">
                  <a:lumMod val="95000"/>
                </a:schemeClr>
              </a:solidFill>
            </a:rPr>
            <a:t>SYSTEM</a:t>
          </a:r>
          <a:r>
            <a:rPr lang="pt-BR" sz="700" baseline="0">
              <a:solidFill>
                <a:schemeClr val="bg1">
                  <a:lumMod val="95000"/>
                </a:schemeClr>
              </a:solidFill>
            </a:rPr>
            <a:t> BY LEIDI </a:t>
          </a:r>
          <a:r>
            <a:rPr lang="pt-BR" sz="700" baseline="0"/>
            <a:t>🦁</a:t>
          </a:r>
          <a:endParaRPr lang="pt-BR" sz="700"/>
        </a:p>
      </xdr:txBody>
    </xdr:sp>
    <xdr:clientData/>
  </xdr:twoCellAnchor>
  <xdr:twoCellAnchor editAs="absolute">
    <xdr:from>
      <xdr:col>0</xdr:col>
      <xdr:colOff>142875</xdr:colOff>
      <xdr:row>13</xdr:row>
      <xdr:rowOff>152400</xdr:rowOff>
    </xdr:from>
    <xdr:to>
      <xdr:col>0</xdr:col>
      <xdr:colOff>1085850</xdr:colOff>
      <xdr:row>13</xdr:row>
      <xdr:rowOff>152400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EDCB53B-47B5-4C8F-A0B0-7F4BE64279ED}"/>
            </a:ext>
          </a:extLst>
        </xdr:cNvPr>
        <xdr:cNvCxnSpPr/>
      </xdr:nvCxnSpPr>
      <xdr:spPr>
        <a:xfrm>
          <a:off x="142875" y="2876550"/>
          <a:ext cx="942975" cy="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447675</xdr:colOff>
      <xdr:row>15</xdr:row>
      <xdr:rowOff>142875</xdr:rowOff>
    </xdr:from>
    <xdr:to>
      <xdr:col>0</xdr:col>
      <xdr:colOff>752475</xdr:colOff>
      <xdr:row>17</xdr:row>
      <xdr:rowOff>28575</xdr:rowOff>
    </xdr:to>
    <xdr:pic>
      <xdr:nvPicPr>
        <xdr:cNvPr id="9" name="Imagem 8" descr="HD White Round Outline Linkedin IN Icon Symbol PNG | City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3F868A-E595-58E2-807C-123B2DA47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286125"/>
          <a:ext cx="304800" cy="304800"/>
        </a:xfrm>
        <a:prstGeom prst="rect">
          <a:avLst/>
        </a:prstGeom>
        <a:noFill/>
        <a:effectLst>
          <a:outerShdw blurRad="50800" dist="50800" dir="5400000" algn="ctr" rotWithShape="0">
            <a:schemeClr val="tx2">
              <a:lumMod val="25000"/>
              <a:lumOff val="75000"/>
            </a:scheme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371475</xdr:colOff>
      <xdr:row>24</xdr:row>
      <xdr:rowOff>28575</xdr:rowOff>
    </xdr:from>
    <xdr:to>
      <xdr:col>5</xdr:col>
      <xdr:colOff>28575</xdr:colOff>
      <xdr:row>25</xdr:row>
      <xdr:rowOff>95250</xdr:rowOff>
    </xdr:to>
    <xdr:sp macro="" textlink="">
      <xdr:nvSpPr>
        <xdr:cNvPr id="10" name="Retângulo: Cantos Diagonai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E01945B-98FD-45E3-91BB-8F9826445E34}"/>
            </a:ext>
          </a:extLst>
        </xdr:cNvPr>
        <xdr:cNvSpPr/>
      </xdr:nvSpPr>
      <xdr:spPr>
        <a:xfrm>
          <a:off x="4848225" y="4810125"/>
          <a:ext cx="1019175" cy="257175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38500-3ED6-4E7D-BCFA-64211EE931F4}" name="Tabela1" displayName="Tabela1" ref="C6:E21" totalsRowShown="0" headerRowDxfId="4" dataDxfId="3">
  <autoFilter ref="C6:E21" xr:uid="{35038500-3ED6-4E7D-BCFA-64211EE931F4}"/>
  <tableColumns count="3">
    <tableColumn id="1" xr3:uid="{E119CA05-A7A4-44EC-BEA0-D314C066248B}" name="DATA" dataDxfId="2"/>
    <tableColumn id="2" xr3:uid="{FB8F0610-6056-439B-807D-B46D86AD04D4}" name="CATEGORIA" dataDxfId="1"/>
    <tableColumn id="3" xr3:uid="{DB9BFC7E-2931-422E-9107-6503F662D853}" name="VALO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idievoce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AAD5-D0D6-472E-84E9-D41B8ECA4B7A}">
  <sheetPr codeName="Planilha1"/>
  <dimension ref="A2:E18"/>
  <sheetViews>
    <sheetView showGridLines="0" showRowColHeaders="0" tabSelected="1" zoomScaleNormal="100" workbookViewId="0">
      <selection activeCell="C1" sqref="C1"/>
    </sheetView>
  </sheetViews>
  <sheetFormatPr defaultRowHeight="15" x14ac:dyDescent="0.25"/>
  <cols>
    <col min="1" max="1" width="17.140625" style="1" customWidth="1"/>
    <col min="3" max="4" width="44.5703125" customWidth="1"/>
  </cols>
  <sheetData>
    <row r="2" spans="3:5" ht="20.25" thickBot="1" x14ac:dyDescent="0.35">
      <c r="C2" s="3" t="s">
        <v>0</v>
      </c>
      <c r="D2" s="3"/>
      <c r="E2" s="3"/>
    </row>
    <row r="3" spans="3:5" ht="15.75" customHeight="1" thickTop="1" x14ac:dyDescent="0.25">
      <c r="C3" s="4" t="s">
        <v>1</v>
      </c>
      <c r="D3" s="4"/>
      <c r="E3" s="4"/>
    </row>
    <row r="5" spans="3:5" ht="16.5" x14ac:dyDescent="0.3">
      <c r="C5" s="2" t="s">
        <v>2</v>
      </c>
      <c r="D5" s="16" t="s">
        <v>16</v>
      </c>
    </row>
    <row r="6" spans="3:5" ht="16.5" x14ac:dyDescent="0.3">
      <c r="C6" s="2" t="s">
        <v>3</v>
      </c>
      <c r="D6" s="17">
        <v>31976504863</v>
      </c>
    </row>
    <row r="7" spans="3:5" ht="16.5" x14ac:dyDescent="0.3">
      <c r="C7" s="2" t="s">
        <v>4</v>
      </c>
      <c r="D7" s="16">
        <v>11101984</v>
      </c>
    </row>
    <row r="8" spans="3:5" ht="16.5" x14ac:dyDescent="0.3">
      <c r="C8" s="2" t="s">
        <v>5</v>
      </c>
      <c r="D8" s="16">
        <v>342454657</v>
      </c>
    </row>
    <row r="9" spans="3:5" ht="16.5" x14ac:dyDescent="0.3">
      <c r="C9" s="2" t="s">
        <v>6</v>
      </c>
      <c r="D9" s="18" t="s">
        <v>22</v>
      </c>
    </row>
    <row r="10" spans="3:5" ht="16.5" x14ac:dyDescent="0.3">
      <c r="C10" s="2" t="s">
        <v>7</v>
      </c>
      <c r="D10" s="16" t="s">
        <v>17</v>
      </c>
    </row>
    <row r="11" spans="3:5" ht="16.5" x14ac:dyDescent="0.3">
      <c r="C11" s="2" t="s">
        <v>8</v>
      </c>
      <c r="D11" s="16" t="s">
        <v>18</v>
      </c>
    </row>
    <row r="12" spans="3:5" ht="16.5" x14ac:dyDescent="0.3">
      <c r="C12" s="2" t="s">
        <v>9</v>
      </c>
      <c r="D12" s="19">
        <v>8840190</v>
      </c>
    </row>
    <row r="13" spans="3:5" ht="16.5" x14ac:dyDescent="0.3">
      <c r="C13" s="2" t="s">
        <v>10</v>
      </c>
      <c r="D13" s="20" t="s">
        <v>23</v>
      </c>
    </row>
    <row r="14" spans="3:5" ht="16.5" x14ac:dyDescent="0.3">
      <c r="C14" s="2" t="s">
        <v>11</v>
      </c>
      <c r="D14" s="21">
        <v>11930170185</v>
      </c>
    </row>
    <row r="15" spans="3:5" ht="16.5" x14ac:dyDescent="0.3">
      <c r="C15" s="2" t="s">
        <v>12</v>
      </c>
      <c r="D15" s="16" t="s">
        <v>19</v>
      </c>
    </row>
    <row r="16" spans="3:5" ht="16.5" x14ac:dyDescent="0.3">
      <c r="C16" s="2" t="s">
        <v>13</v>
      </c>
      <c r="D16" s="16" t="s">
        <v>20</v>
      </c>
    </row>
    <row r="17" spans="3:4" ht="16.5" x14ac:dyDescent="0.3">
      <c r="C17" s="2" t="s">
        <v>14</v>
      </c>
      <c r="D17" s="16" t="s">
        <v>20</v>
      </c>
    </row>
    <row r="18" spans="3:4" ht="16.5" x14ac:dyDescent="0.3">
      <c r="C18" s="2" t="s">
        <v>15</v>
      </c>
      <c r="D18" s="16" t="s">
        <v>21</v>
      </c>
    </row>
  </sheetData>
  <mergeCells count="1">
    <mergeCell ref="C3:E3"/>
  </mergeCells>
  <dataValidations count="1">
    <dataValidation type="list" allowBlank="1" showInputMessage="1" showErrorMessage="1" sqref="D16:D18" xr:uid="{AFD8858D-4CAD-458D-B450-2BBABA220077}">
      <formula1>"SIM,NÃO"</formula1>
    </dataValidation>
  </dataValidations>
  <hyperlinks>
    <hyperlink ref="D15" r:id="rId1" xr:uid="{00B6E970-5103-4259-ADE3-F8A66B007803}"/>
  </hyperlinks>
  <pageMargins left="0.51181102362204722" right="0.51181102362204722" top="0.78740157480314965" bottom="0.78740157480314965" header="0.31496062992125984" footer="0.31496062992125984"/>
  <pageSetup paperSize="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A06F-EB10-455E-AB2F-9FF147FAAF5F}">
  <sheetPr codeName="Planilha2"/>
  <dimension ref="A2:F20"/>
  <sheetViews>
    <sheetView showGridLines="0" workbookViewId="0">
      <selection activeCell="C1" sqref="C1"/>
    </sheetView>
  </sheetViews>
  <sheetFormatPr defaultRowHeight="15" x14ac:dyDescent="0.25"/>
  <cols>
    <col min="1" max="1" width="17.140625" style="1" customWidth="1"/>
    <col min="3" max="4" width="44.5703125" customWidth="1"/>
  </cols>
  <sheetData>
    <row r="2" spans="3:6" ht="20.25" thickBot="1" x14ac:dyDescent="0.35">
      <c r="C2" s="3" t="s">
        <v>24</v>
      </c>
      <c r="D2" s="3"/>
      <c r="E2" s="3"/>
    </row>
    <row r="3" spans="3:6" ht="15.75" customHeight="1" thickTop="1" x14ac:dyDescent="0.25">
      <c r="C3" s="4" t="s">
        <v>25</v>
      </c>
      <c r="D3" s="4"/>
      <c r="E3" s="4"/>
    </row>
    <row r="4" spans="3:6" ht="5.25" customHeight="1" x14ac:dyDescent="0.25"/>
    <row r="5" spans="3:6" ht="16.5" x14ac:dyDescent="0.3">
      <c r="C5" s="12" t="s">
        <v>84</v>
      </c>
      <c r="D5" s="12"/>
      <c r="E5" s="10"/>
    </row>
    <row r="6" spans="3:6" x14ac:dyDescent="0.25">
      <c r="C6" s="13">
        <f>SUM(D9,D14,D19)</f>
        <v>60100</v>
      </c>
      <c r="D6" s="13"/>
      <c r="E6" s="11"/>
      <c r="F6" s="9"/>
    </row>
    <row r="7" spans="3:6" x14ac:dyDescent="0.25">
      <c r="C7" t="s">
        <v>81</v>
      </c>
    </row>
    <row r="8" spans="3:6" ht="16.5" x14ac:dyDescent="0.3">
      <c r="C8" s="2" t="s">
        <v>26</v>
      </c>
      <c r="D8" s="5" t="s">
        <v>31</v>
      </c>
    </row>
    <row r="9" spans="3:6" ht="16.5" x14ac:dyDescent="0.3">
      <c r="C9" s="2" t="s">
        <v>27</v>
      </c>
      <c r="D9" s="8">
        <v>5000</v>
      </c>
    </row>
    <row r="10" spans="3:6" ht="16.5" x14ac:dyDescent="0.3">
      <c r="C10" s="2" t="s">
        <v>28</v>
      </c>
      <c r="D10" s="5" t="s">
        <v>29</v>
      </c>
    </row>
    <row r="12" spans="3:6" x14ac:dyDescent="0.25">
      <c r="C12" t="s">
        <v>83</v>
      </c>
    </row>
    <row r="13" spans="3:6" ht="16.5" x14ac:dyDescent="0.3">
      <c r="C13" s="2" t="s">
        <v>26</v>
      </c>
      <c r="D13" s="5" t="s">
        <v>49</v>
      </c>
    </row>
    <row r="14" spans="3:6" ht="16.5" x14ac:dyDescent="0.3">
      <c r="C14" s="2" t="s">
        <v>27</v>
      </c>
      <c r="D14" s="8">
        <v>22000</v>
      </c>
    </row>
    <row r="15" spans="3:6" ht="16.5" x14ac:dyDescent="0.3">
      <c r="C15" s="2" t="s">
        <v>28</v>
      </c>
      <c r="D15" s="5" t="s">
        <v>29</v>
      </c>
    </row>
    <row r="17" spans="3:4" x14ac:dyDescent="0.25">
      <c r="C17" t="s">
        <v>82</v>
      </c>
    </row>
    <row r="18" spans="3:4" ht="16.5" x14ac:dyDescent="0.3">
      <c r="C18" s="2" t="s">
        <v>26</v>
      </c>
      <c r="D18" s="5" t="s">
        <v>49</v>
      </c>
    </row>
    <row r="19" spans="3:4" ht="16.5" x14ac:dyDescent="0.3">
      <c r="C19" s="2" t="s">
        <v>27</v>
      </c>
      <c r="D19" s="8">
        <v>33100</v>
      </c>
    </row>
    <row r="20" spans="3:4" ht="16.5" x14ac:dyDescent="0.3">
      <c r="C20" s="2" t="s">
        <v>28</v>
      </c>
      <c r="D20" s="5" t="s">
        <v>29</v>
      </c>
    </row>
  </sheetData>
  <sheetProtection selectLockedCells="1"/>
  <mergeCells count="3">
    <mergeCell ref="C3:E3"/>
    <mergeCell ref="C6:D6"/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." xr:uid="{62C28ACD-2176-4CAE-85F0-1DF81368CF2C}">
          <x14:formula1>
            <xm:f>TABELAS!$A$2:$A$51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E24F-9852-4931-8C82-080E06ED1AB4}">
  <sheetPr codeName="Planilha3"/>
  <dimension ref="A2:E24"/>
  <sheetViews>
    <sheetView showGridLines="0" workbookViewId="0">
      <selection activeCell="C1" sqref="C1"/>
    </sheetView>
  </sheetViews>
  <sheetFormatPr defaultRowHeight="15" x14ac:dyDescent="0.25"/>
  <cols>
    <col min="1" max="1" width="17.140625" style="1" customWidth="1"/>
    <col min="3" max="5" width="20.42578125" customWidth="1"/>
  </cols>
  <sheetData>
    <row r="2" spans="3:5" ht="20.25" thickBot="1" x14ac:dyDescent="0.35">
      <c r="C2" s="3" t="s">
        <v>85</v>
      </c>
      <c r="D2" s="3"/>
      <c r="E2" s="3"/>
    </row>
    <row r="3" spans="3:5" ht="15.75" thickTop="1" x14ac:dyDescent="0.25">
      <c r="C3" s="4" t="s">
        <v>86</v>
      </c>
      <c r="D3" s="4"/>
      <c r="E3" s="4"/>
    </row>
    <row r="5" spans="3:5" ht="16.5" x14ac:dyDescent="0.3">
      <c r="C5" s="14" t="s">
        <v>90</v>
      </c>
      <c r="D5" s="14"/>
      <c r="E5" s="14"/>
    </row>
    <row r="6" spans="3:5" ht="16.5" x14ac:dyDescent="0.3">
      <c r="C6" s="15" t="s">
        <v>87</v>
      </c>
      <c r="D6" s="15" t="s">
        <v>88</v>
      </c>
      <c r="E6" s="15" t="s">
        <v>89</v>
      </c>
    </row>
    <row r="7" spans="3:5" ht="16.5" x14ac:dyDescent="0.3">
      <c r="C7" s="22">
        <v>46051</v>
      </c>
      <c r="D7" s="23" t="s">
        <v>92</v>
      </c>
      <c r="E7" s="24">
        <v>3000</v>
      </c>
    </row>
    <row r="8" spans="3:5" ht="16.5" x14ac:dyDescent="0.3">
      <c r="C8" s="22">
        <v>46052</v>
      </c>
      <c r="D8" s="23" t="s">
        <v>92</v>
      </c>
      <c r="E8" s="24">
        <v>3000</v>
      </c>
    </row>
    <row r="9" spans="3:5" ht="16.5" x14ac:dyDescent="0.3">
      <c r="C9" s="22">
        <v>46124</v>
      </c>
      <c r="D9" s="23" t="s">
        <v>91</v>
      </c>
      <c r="E9" s="24">
        <v>4500</v>
      </c>
    </row>
    <row r="10" spans="3:5" ht="16.5" x14ac:dyDescent="0.3">
      <c r="C10" s="22">
        <v>46084</v>
      </c>
      <c r="D10" s="23" t="s">
        <v>93</v>
      </c>
      <c r="E10" s="24">
        <v>5000</v>
      </c>
    </row>
    <row r="11" spans="3:5" ht="16.5" x14ac:dyDescent="0.3">
      <c r="C11" s="22">
        <v>46052</v>
      </c>
      <c r="D11" s="23" t="s">
        <v>91</v>
      </c>
      <c r="E11" s="24">
        <v>3000</v>
      </c>
    </row>
    <row r="12" spans="3:5" ht="16.5" x14ac:dyDescent="0.3">
      <c r="C12" s="22">
        <v>46124</v>
      </c>
      <c r="D12" s="23" t="s">
        <v>93</v>
      </c>
      <c r="E12" s="24">
        <v>3000</v>
      </c>
    </row>
    <row r="13" spans="3:5" ht="16.5" x14ac:dyDescent="0.3">
      <c r="C13" s="22">
        <v>46084</v>
      </c>
      <c r="D13" s="23" t="s">
        <v>92</v>
      </c>
      <c r="E13" s="24">
        <v>3000</v>
      </c>
    </row>
    <row r="14" spans="3:5" ht="16.5" x14ac:dyDescent="0.3">
      <c r="C14" s="22">
        <v>46052</v>
      </c>
      <c r="D14" s="23" t="s">
        <v>92</v>
      </c>
      <c r="E14" s="24">
        <v>9000</v>
      </c>
    </row>
    <row r="15" spans="3:5" ht="16.5" x14ac:dyDescent="0.3">
      <c r="C15" s="22">
        <v>46124</v>
      </c>
      <c r="D15" s="23" t="s">
        <v>91</v>
      </c>
      <c r="E15" s="24">
        <v>3000</v>
      </c>
    </row>
    <row r="16" spans="3:5" ht="16.5" x14ac:dyDescent="0.3">
      <c r="C16" s="22">
        <v>46084</v>
      </c>
      <c r="D16" s="23" t="s">
        <v>93</v>
      </c>
      <c r="E16" s="24">
        <v>3000</v>
      </c>
    </row>
    <row r="17" spans="3:5" ht="16.5" x14ac:dyDescent="0.3">
      <c r="C17" s="22">
        <v>46052</v>
      </c>
      <c r="D17" s="23" t="s">
        <v>91</v>
      </c>
      <c r="E17" s="24">
        <v>3000</v>
      </c>
    </row>
    <row r="18" spans="3:5" ht="16.5" x14ac:dyDescent="0.3">
      <c r="C18" s="22">
        <v>46124</v>
      </c>
      <c r="D18" s="23" t="s">
        <v>93</v>
      </c>
      <c r="E18" s="24">
        <v>1300</v>
      </c>
    </row>
    <row r="19" spans="3:5" ht="16.5" x14ac:dyDescent="0.3">
      <c r="C19" s="22">
        <v>46084</v>
      </c>
      <c r="D19" s="23" t="s">
        <v>92</v>
      </c>
      <c r="E19" s="24">
        <v>3000</v>
      </c>
    </row>
    <row r="20" spans="3:5" ht="16.5" x14ac:dyDescent="0.3">
      <c r="C20" s="22">
        <v>46052</v>
      </c>
      <c r="D20" s="23" t="s">
        <v>92</v>
      </c>
      <c r="E20" s="24">
        <v>3000</v>
      </c>
    </row>
    <row r="21" spans="3:5" ht="16.5" x14ac:dyDescent="0.3">
      <c r="C21" s="22">
        <v>46124</v>
      </c>
      <c r="D21" s="23" t="s">
        <v>91</v>
      </c>
      <c r="E21" s="24">
        <v>22000</v>
      </c>
    </row>
    <row r="22" spans="3:5" ht="7.5" customHeight="1" x14ac:dyDescent="0.3">
      <c r="C22" s="22"/>
      <c r="D22" s="23"/>
      <c r="E22" s="24"/>
    </row>
    <row r="23" spans="3:5" x14ac:dyDescent="0.25">
      <c r="C23" s="25" t="s">
        <v>94</v>
      </c>
      <c r="D23" s="25"/>
      <c r="E23" s="9">
        <f>SUM(Tabela1[[VALOR ]])</f>
        <v>71800</v>
      </c>
    </row>
    <row r="24" spans="3:5" ht="7.5" customHeight="1" x14ac:dyDescent="0.25"/>
  </sheetData>
  <mergeCells count="3">
    <mergeCell ref="C3:E3"/>
    <mergeCell ref="C5:E5"/>
    <mergeCell ref="C23:D23"/>
  </mergeCells>
  <dataValidations count="1">
    <dataValidation type="list" allowBlank="1" showInputMessage="1" showErrorMessage="1" sqref="D7:D22" xr:uid="{7FC485B4-6536-4E42-A516-545F874DB0A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3C24-DA95-4D19-8739-5B3423EA4222}">
  <dimension ref="A1:A51"/>
  <sheetViews>
    <sheetView topLeftCell="A31" workbookViewId="0"/>
  </sheetViews>
  <sheetFormatPr defaultRowHeight="15" x14ac:dyDescent="0.25"/>
  <cols>
    <col min="1" max="1" width="39" bestFit="1" customWidth="1"/>
  </cols>
  <sheetData>
    <row r="1" spans="1:1" x14ac:dyDescent="0.25">
      <c r="A1" s="7" t="s">
        <v>30</v>
      </c>
    </row>
    <row r="2" spans="1:1" x14ac:dyDescent="0.25">
      <c r="A2" s="6" t="s">
        <v>31</v>
      </c>
    </row>
    <row r="3" spans="1:1" x14ac:dyDescent="0.25">
      <c r="A3" s="6" t="s">
        <v>32</v>
      </c>
    </row>
    <row r="4" spans="1:1" x14ac:dyDescent="0.25">
      <c r="A4" s="6" t="s">
        <v>33</v>
      </c>
    </row>
    <row r="5" spans="1:1" x14ac:dyDescent="0.25">
      <c r="A5" s="6" t="s">
        <v>34</v>
      </c>
    </row>
    <row r="6" spans="1:1" x14ac:dyDescent="0.25">
      <c r="A6" s="6" t="s">
        <v>35</v>
      </c>
    </row>
    <row r="7" spans="1:1" x14ac:dyDescent="0.25">
      <c r="A7" s="6" t="s">
        <v>36</v>
      </c>
    </row>
    <row r="8" spans="1:1" x14ac:dyDescent="0.25">
      <c r="A8" s="6" t="s">
        <v>37</v>
      </c>
    </row>
    <row r="9" spans="1:1" x14ac:dyDescent="0.25">
      <c r="A9" s="6" t="s">
        <v>38</v>
      </c>
    </row>
    <row r="10" spans="1:1" x14ac:dyDescent="0.25">
      <c r="A10" s="6" t="s">
        <v>39</v>
      </c>
    </row>
    <row r="11" spans="1:1" x14ac:dyDescent="0.25">
      <c r="A11" s="6" t="s">
        <v>40</v>
      </c>
    </row>
    <row r="12" spans="1:1" x14ac:dyDescent="0.25">
      <c r="A12" s="6" t="s">
        <v>41</v>
      </c>
    </row>
    <row r="13" spans="1:1" x14ac:dyDescent="0.25">
      <c r="A13" s="6" t="s">
        <v>42</v>
      </c>
    </row>
    <row r="14" spans="1:1" x14ac:dyDescent="0.25">
      <c r="A14" s="6" t="s">
        <v>43</v>
      </c>
    </row>
    <row r="15" spans="1:1" x14ac:dyDescent="0.25">
      <c r="A15" s="6" t="s">
        <v>44</v>
      </c>
    </row>
    <row r="16" spans="1:1" x14ac:dyDescent="0.25">
      <c r="A16" s="6" t="s">
        <v>45</v>
      </c>
    </row>
    <row r="17" spans="1:1" x14ac:dyDescent="0.25">
      <c r="A17" s="6" t="s">
        <v>46</v>
      </c>
    </row>
    <row r="18" spans="1:1" x14ac:dyDescent="0.25">
      <c r="A18" s="6" t="s">
        <v>47</v>
      </c>
    </row>
    <row r="19" spans="1:1" x14ac:dyDescent="0.25">
      <c r="A19" s="6" t="s">
        <v>48</v>
      </c>
    </row>
    <row r="20" spans="1:1" x14ac:dyDescent="0.25">
      <c r="A20" s="6" t="s">
        <v>49</v>
      </c>
    </row>
    <row r="21" spans="1:1" x14ac:dyDescent="0.25">
      <c r="A21" s="6" t="s">
        <v>50</v>
      </c>
    </row>
    <row r="22" spans="1:1" x14ac:dyDescent="0.25">
      <c r="A22" s="6" t="s">
        <v>51</v>
      </c>
    </row>
    <row r="23" spans="1:1" x14ac:dyDescent="0.25">
      <c r="A23" s="6" t="s">
        <v>52</v>
      </c>
    </row>
    <row r="24" spans="1:1" x14ac:dyDescent="0.25">
      <c r="A24" s="6" t="s">
        <v>53</v>
      </c>
    </row>
    <row r="25" spans="1:1" x14ac:dyDescent="0.25">
      <c r="A25" s="6" t="s">
        <v>54</v>
      </c>
    </row>
    <row r="26" spans="1:1" x14ac:dyDescent="0.25">
      <c r="A26" s="6" t="s">
        <v>55</v>
      </c>
    </row>
    <row r="27" spans="1:1" x14ac:dyDescent="0.25">
      <c r="A27" s="6" t="s">
        <v>56</v>
      </c>
    </row>
    <row r="28" spans="1:1" x14ac:dyDescent="0.25">
      <c r="A28" s="6" t="s">
        <v>57</v>
      </c>
    </row>
    <row r="29" spans="1:1" x14ac:dyDescent="0.25">
      <c r="A29" s="6" t="s">
        <v>58</v>
      </c>
    </row>
    <row r="30" spans="1:1" x14ac:dyDescent="0.25">
      <c r="A30" s="6" t="s">
        <v>59</v>
      </c>
    </row>
    <row r="31" spans="1:1" x14ac:dyDescent="0.25">
      <c r="A31" s="6" t="s">
        <v>60</v>
      </c>
    </row>
    <row r="32" spans="1:1" x14ac:dyDescent="0.25">
      <c r="A32" s="6" t="s">
        <v>61</v>
      </c>
    </row>
    <row r="33" spans="1:1" x14ac:dyDescent="0.25">
      <c r="A33" s="6" t="s">
        <v>62</v>
      </c>
    </row>
    <row r="34" spans="1:1" x14ac:dyDescent="0.25">
      <c r="A34" s="6" t="s">
        <v>63</v>
      </c>
    </row>
    <row r="35" spans="1:1" x14ac:dyDescent="0.25">
      <c r="A35" s="6" t="s">
        <v>64</v>
      </c>
    </row>
    <row r="36" spans="1:1" x14ac:dyDescent="0.25">
      <c r="A36" s="6" t="s">
        <v>65</v>
      </c>
    </row>
    <row r="37" spans="1:1" x14ac:dyDescent="0.25">
      <c r="A37" s="6" t="s">
        <v>66</v>
      </c>
    </row>
    <row r="38" spans="1:1" x14ac:dyDescent="0.25">
      <c r="A38" s="6" t="s">
        <v>67</v>
      </c>
    </row>
    <row r="39" spans="1:1" x14ac:dyDescent="0.25">
      <c r="A39" s="6" t="s">
        <v>68</v>
      </c>
    </row>
    <row r="40" spans="1:1" x14ac:dyDescent="0.25">
      <c r="A40" s="6" t="s">
        <v>69</v>
      </c>
    </row>
    <row r="41" spans="1:1" x14ac:dyDescent="0.25">
      <c r="A41" s="6" t="s">
        <v>70</v>
      </c>
    </row>
    <row r="42" spans="1:1" x14ac:dyDescent="0.25">
      <c r="A42" s="6" t="s">
        <v>71</v>
      </c>
    </row>
    <row r="43" spans="1:1" x14ac:dyDescent="0.25">
      <c r="A43" s="6" t="s">
        <v>72</v>
      </c>
    </row>
    <row r="44" spans="1:1" x14ac:dyDescent="0.25">
      <c r="A44" s="6" t="s">
        <v>73</v>
      </c>
    </row>
    <row r="45" spans="1:1" x14ac:dyDescent="0.25">
      <c r="A45" s="6" t="s">
        <v>74</v>
      </c>
    </row>
    <row r="46" spans="1:1" x14ac:dyDescent="0.25">
      <c r="A46" s="6" t="s">
        <v>75</v>
      </c>
    </row>
    <row r="47" spans="1:1" x14ac:dyDescent="0.25">
      <c r="A47" s="6" t="s">
        <v>76</v>
      </c>
    </row>
    <row r="48" spans="1:1" x14ac:dyDescent="0.25">
      <c r="A48" s="6" t="s">
        <v>77</v>
      </c>
    </row>
    <row r="49" spans="1:1" x14ac:dyDescent="0.25">
      <c r="A49" s="6" t="s">
        <v>78</v>
      </c>
    </row>
    <row r="50" spans="1:1" x14ac:dyDescent="0.25">
      <c r="A50" s="6" t="s">
        <v>79</v>
      </c>
    </row>
    <row r="51" spans="1:1" x14ac:dyDescent="0.25">
      <c r="A51" s="6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2026-01-29T21:01:13Z</dcterms:created>
  <dcterms:modified xsi:type="dcterms:W3CDTF">2026-01-30T04:01:33Z</dcterms:modified>
</cp:coreProperties>
</file>